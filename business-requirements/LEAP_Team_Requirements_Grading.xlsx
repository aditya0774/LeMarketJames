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ust-Have" sheetId="1" state="visible" r:id="rId1"/>
    <sheet name="Should-H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12243A"/>
      </patternFill>
    </fill>
    <fill>
      <patternFill patternType="solid">
        <fgColor rgb="FF1E557A"/>
      </patternFill>
    </fill>
    <fill>
      <patternFill patternType="solid">
        <fgColor rgb="FFFFF2C9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0" fillId="4" borderId="1" pivotButton="0" quotePrefix="0" xfId="0"/>
    <xf numFmtId="0" fontId="3" fillId="0" borderId="0" pivotButton="0" quotePrefix="0" xfId="0"/>
    <xf numFmtId="0" fontId="3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5" topLeftCell="A6" activePane="bottomLeft" state="frozen"/>
      <selection activeCell="A1" sqref="A1"/>
    </sheetView>
  </sheetViews>
  <sheetFormatPr baseColWidth="8" defaultRowHeight="15"/>
  <cols>
    <col width="17" customWidth="1" min="1" max="1"/>
    <col width="69" customWidth="1" min="2" max="2"/>
    <col width="16" customWidth="1" min="3" max="3"/>
    <col width="17" customWidth="1" min="4" max="4"/>
    <col width="55" customWidth="1" min="5" max="5"/>
  </cols>
  <sheetData>
    <row r="1" ht="36" customHeight="1">
      <c r="A1" s="5" t="inlineStr">
        <is>
          <t>LEAP PROJECT | MUST-HAVE CHECKLIST</t>
        </is>
      </c>
      <c r="B1" s="1" t="n"/>
      <c r="C1" s="1" t="n"/>
      <c r="D1" s="1" t="n"/>
      <c r="E1" s="1" t="n"/>
    </row>
    <row r="2">
      <c r="A2" t="inlineStr">
        <is>
          <t>Team / Student:</t>
        </is>
      </c>
      <c r="D2" t="inlineStr">
        <is>
          <t>Evaluator:</t>
        </is>
      </c>
    </row>
    <row r="3">
      <c r="A3" t="inlineStr">
        <is>
          <t>Scoring: 1 = Not Met  |  2 = Minimally Met  |  3 = Partially Met  |  4 = Mostly Met  |  5 = Fully Met</t>
        </is>
      </c>
    </row>
    <row r="5" ht="29" customHeight="1">
      <c r="A5" s="7" t="inlineStr">
        <is>
          <t>Requirement</t>
        </is>
      </c>
      <c r="B5" s="7" t="inlineStr">
        <is>
          <t>Evaluation checklist</t>
        </is>
      </c>
      <c r="C5" s="7" t="inlineStr">
        <is>
          <t>Priority</t>
        </is>
      </c>
      <c r="D5" s="7" t="inlineStr">
        <is>
          <t>Score (1–5)</t>
        </is>
      </c>
      <c r="E5" s="7" t="inlineStr">
        <is>
          <t>Evidence / Comments</t>
        </is>
      </c>
    </row>
    <row r="6" ht="79" customHeight="1">
      <c r="A6" t="inlineStr">
        <is>
          <t>BR-01</t>
        </is>
      </c>
      <c r="B6" s="10" t="inlineStr">
        <is>
          <t>Client registration and secure sign-in</t>
        </is>
      </c>
      <c r="C6" t="inlineStr">
        <is>
          <t>Must</t>
        </is>
      </c>
      <c r="D6" s="12" t="n"/>
      <c r="E6" s="10" t="inlineStr">
        <is>
          <t>Server enforces the registration rules the form shows (RegistrationRules, auth-service); BCrypt passwords; lockout after repeated failed sign-ins; JWT in an HttpOnly, Secure cookie over HTTPS. Tests: auth-service unit tests, e2e auth and lockout specs.</t>
        </is>
      </c>
    </row>
    <row r="7" ht="94" customHeight="1">
      <c r="A7" t="inlineStr">
        <is>
          <t>BR-02</t>
        </is>
      </c>
      <c r="B7" s="10" t="inlineStr">
        <is>
          <t>Client can access only their own positions, cash and orders</t>
        </is>
      </c>
      <c r="C7" t="inlineStr">
        <is>
          <t>Must</t>
        </is>
      </c>
      <c r="D7" s="12" t="n"/>
      <c r="E7" s="10" t="inlineStr">
        <is>
          <t>Every service validates the JWT and checks ownership of orders, holdings, cash and portfolio (OwnDataIntegrationTest, HoldingsOwnDataIntegrationTest). No unauthenticated endpoints beyond health, sign-in, registration and read-only market data; /internal/** needs a service token; web apps HTTPS only, service ports local.</t>
        </is>
      </c>
    </row>
    <row r="8" ht="79" customHeight="1">
      <c r="A8" t="inlineStr">
        <is>
          <t>BR-04</t>
        </is>
      </c>
      <c r="B8" s="10" t="inlineStr">
        <is>
          <t>Submit buy or sell order for supported instrument</t>
        </is>
      </c>
      <c r="C8" t="inlineStr">
        <is>
          <t>Must</t>
        </is>
      </c>
      <c r="D8" s="12" t="n"/>
      <c r="E8" s="10" t="inlineStr">
        <is>
          <t>POST /api/v1/orders: BUY or SELL any supported stock, by shares or by dollar amount (whole shares only, enforced on the server); the trade form shows shares, cost and leftover before confirming (C6). e2e: trade.spec, order-by-amount.spec.</t>
        </is>
      </c>
    </row>
    <row r="9" ht="94" customHeight="1">
      <c r="A9" t="inlineStr">
        <is>
          <t>BR-05</t>
        </is>
      </c>
      <c r="B9" s="10" t="inlineStr">
        <is>
          <t>Validate cash, holdings and tradability before accepting</t>
        </is>
      </c>
      <c r="C9" t="inlineStr">
        <is>
          <t>Must</t>
        </is>
      </c>
      <c r="D9" s="12" t="n"/>
      <c r="E9" s="10" t="inlineStr">
        <is>
          <t>SubmissionValidator checks account status, residence location (platform list + per-stock rules), tradability, quote freshness, quantity, holdings and cash net of open orders, under an account lock; each check is audited (RULE_CHECKED). OpenOrderReservationIntegrationTest, open-order-rules.spec.</t>
        </is>
      </c>
    </row>
    <row r="10" ht="79" customHeight="1">
      <c r="A10" t="inlineStr">
        <is>
          <t>BR-06</t>
        </is>
      </c>
      <c r="B10" s="10" t="inlineStr">
        <is>
          <t>Persist accepted order before separate execution, including failures</t>
        </is>
      </c>
      <c r="C10" t="inlineStr">
        <is>
          <t>Must</t>
        </is>
      </c>
      <c r="D10" s="12" t="n"/>
      <c r="E10" s="10" t="inlineStr">
        <is>
          <t>Order saved as SUBMITTED with its audit trail in the placement transaction; OrderExecutionScheduler executes separately and retries; execution intent persisted before settlement (OrderExecutionTransactions.prepare); DELAYED/PENDING cover waiting.</t>
        </is>
      </c>
    </row>
    <row r="11" ht="49" customHeight="1">
      <c r="A11" t="inlineStr">
        <is>
          <t>BR-08</t>
        </is>
      </c>
      <c r="B11" s="10" t="inlineStr">
        <is>
          <t>Price against current quote at execution and fill/reject</t>
        </is>
      </c>
      <c r="C11" t="inlineStr">
        <is>
          <t>Must</t>
        </is>
      </c>
      <c r="D11" s="12" t="n"/>
      <c r="E11" s="10" t="inlineStr">
        <is>
          <t>MarketOrderExecutor reprices at execution (ask for BUY, bid for SELL), rejects stale (5 s) or missing quotes, and stores the quote price, source and time on the order.</t>
        </is>
      </c>
    </row>
    <row r="12" ht="64" customHeight="1">
      <c r="A12" t="inlineStr">
        <is>
          <t>BR-09</t>
        </is>
      </c>
      <c r="B12" s="10" t="inlineStr">
        <is>
          <t>Update holdings, cash and permanent trade record atomically</t>
        </is>
      </c>
      <c r="C12" t="inlineStr">
        <is>
          <t>Must</t>
        </is>
      </c>
      <c r="D12" s="12" t="n"/>
      <c r="E12" s="10" t="inlineStr">
        <is>
          <t>HoldingsSettlementService.settle: cash, holdings, settlement receipt and SETTLED audit event in one transaction under an account lock; idempotent receipts; FILLED recorded after. Receipts and final orders can't be changed (029).</t>
        </is>
      </c>
    </row>
    <row r="13" ht="43" customHeight="1">
      <c r="A13" t="inlineStr">
        <is>
          <t>BR-10</t>
        </is>
      </c>
      <c r="B13" s="10" t="inlineStr">
        <is>
          <t>Show accurate current holdings and cash balance</t>
        </is>
      </c>
      <c r="C13" t="inlineStr">
        <is>
          <t>Must</t>
        </is>
      </c>
      <c r="D13" s="12" t="n"/>
      <c r="E13" s="10" t="inlineStr">
        <is>
          <t>Owner-checked portfolio and holdings APIs; /api/v1/portfolio/stream pushes the new balance after each settlement.</t>
        </is>
      </c>
    </row>
    <row r="14" ht="49" customHeight="1">
      <c r="A14" t="inlineStr">
        <is>
          <t>BR-11</t>
        </is>
      </c>
      <c r="B14" s="10" t="inlineStr">
        <is>
          <t>Show chronological history of own orders and fills</t>
        </is>
      </c>
      <c r="C14" t="inlineStr">
        <is>
          <t>Must</t>
        </is>
      </c>
      <c r="D14" s="12" t="n"/>
      <c r="E14" s="10" t="inlineStr">
        <is>
          <t>Chronological, paginated order history with day/month/year filter (OrderHistoryPeriod, orders panel). e2e: order-history.spec.</t>
        </is>
      </c>
    </row>
    <row r="15" ht="94" customHeight="1">
      <c r="A15" t="inlineStr">
        <is>
          <t>BR-12</t>
        </is>
      </c>
      <c r="B15" s="10" t="inlineStr">
        <is>
          <t>Current market pricing for UK/US/Indian equities, FX and crypto</t>
        </is>
      </c>
      <c r="C15" t="inlineStr">
        <is>
          <t>Must</t>
        </is>
      </c>
      <c r="D15" s="12" t="n"/>
      <c r="E15" s="10" t="inlineStr">
        <is>
          <t>Scope per the revised BR-12: the 51 US equities in USD (README, 'Market coverage (BR-12)'); simulated feed with US hours and holidays; every quote timestamped, stale or missing quotes refused at placement and execution, quote stored on each fill. Note: this checklist text predates that revision.</t>
        </is>
      </c>
    </row>
    <row r="16" ht="94" customHeight="1">
      <c r="A16" t="inlineStr">
        <is>
          <t>BR-14</t>
        </is>
      </c>
      <c r="B16" s="10" t="inlineStr">
        <is>
          <t>Permanent attributable order/pricing/balance audit records surviving failures</t>
        </is>
      </c>
      <c r="C16" t="inlineStr">
        <is>
          <t>Must</t>
        </is>
      </c>
      <c r="D16" s="12" t="n"/>
      <c r="E16" s="10" t="inlineStr">
        <is>
          <t>Audit log and trade records can't be changed or deleted by the app account nor, by trigger, the owner (016, 029); refusals logged by PostgreSQL. Kept 7+ years: old events marked archived, retrievable via GET /api/v1/audit/archive. Nightly pg_dump keeps 7 + restore guide. AuditLockdownIntegrationTest, verify-audit-lockdown.sh.</t>
        </is>
      </c>
    </row>
    <row r="17" ht="79" customHeight="1">
      <c r="A17" t="inlineStr">
        <is>
          <t>BR-15</t>
        </is>
      </c>
      <c r="B17" s="10" t="inlineStr">
        <is>
          <t>Reconstruct complete trade lifecycle for disputes/audit</t>
        </is>
      </c>
      <c r="C17" t="inlineStr">
        <is>
          <t>Must</t>
        </is>
      </c>
      <c r="D17" s="12" t="n"/>
      <c r="E17" s="10" t="inlineStr">
        <is>
          <t>Every lifecycle step audited with its details: SUBMITTED, each RULE_CHECKED, VALIDATED, ACCEPTED, DELAYED, PENDING, SETTLED, FILLED or REJECTED (with the quote used). Trading Ops trade search and order timeline in the staff app; refused submissions found by request ID (C2).</t>
        </is>
      </c>
    </row>
    <row r="18" ht="94" customHeight="1">
      <c r="A18" t="inlineStr">
        <is>
          <t>BR-16</t>
        </is>
      </c>
      <c r="B18" s="10" t="inlineStr">
        <is>
          <t>Historical analysis independent of live trading</t>
        </is>
      </c>
      <c r="C18" t="inlineStr">
        <is>
          <t>Must</t>
        </is>
      </c>
      <c r="D18" s="12" t="n"/>
      <c r="E18" s="10" t="inlineStr">
        <is>
          <t>Reports run in staff-ops-service on a 1-connection, read-only, time-limited pool; long-range reports read a nightly summary (030), not live orders; overnight Monthly trading summary CSV. Load test (Jenkins build 18): order p95 1,245 ms → 1,372 ms with 8 analysts (allowed 1,495). LMKT-44-performance.md.</t>
        </is>
      </c>
    </row>
    <row r="20">
      <c r="C20" s="14" t="inlineStr">
        <is>
          <t>TOTAL</t>
        </is>
      </c>
      <c r="D20" s="14">
        <f>IF(COUNT(D6:D18)=0,"",SUM(D6:D18))</f>
        <v/>
      </c>
    </row>
    <row r="21">
      <c r="C21" s="14" t="inlineStr">
        <is>
          <t>MAX POSSIBLE</t>
        </is>
      </c>
      <c r="D21" s="14" t="n">
        <v>65</v>
      </c>
    </row>
    <row r="22">
      <c r="C22" s="14" t="inlineStr">
        <is>
          <t>COMPLETED</t>
        </is>
      </c>
      <c r="D22" s="14">
        <f>COUNT(D6:D18)&amp;" / 13"</f>
        <v/>
      </c>
    </row>
  </sheetData>
  <mergeCells count="1">
    <mergeCell ref="A1:E1"/>
  </mergeCells>
  <conditionalFormatting sqref="D6:D18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sqref="D6:D18" showDropDown="0" showInputMessage="0" showErrorMessage="0" allowBlank="0" type="list">
      <formula1>"1,2,3,4,5"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5" topLeftCell="A6" activePane="bottomLeft" state="frozen"/>
      <selection activeCell="A1" sqref="A1"/>
    </sheetView>
  </sheetViews>
  <sheetFormatPr baseColWidth="8" defaultRowHeight="15"/>
  <cols>
    <col width="17" customWidth="1" min="1" max="1"/>
    <col width="69" customWidth="1" min="2" max="2"/>
    <col width="16" customWidth="1" min="3" max="3"/>
    <col width="17" customWidth="1" min="4" max="4"/>
    <col width="55" customWidth="1" min="5" max="5"/>
  </cols>
  <sheetData>
    <row r="1" ht="36" customHeight="1">
      <c r="A1" s="5" t="inlineStr">
        <is>
          <t>LEAP PROJECT | SHOULD-HAVE CHECKLIST</t>
        </is>
      </c>
      <c r="B1" s="1" t="n"/>
      <c r="C1" s="1" t="n"/>
      <c r="D1" s="1" t="n"/>
      <c r="E1" s="1" t="n"/>
    </row>
    <row r="2">
      <c r="A2" t="inlineStr">
        <is>
          <t>Team / Student:</t>
        </is>
      </c>
      <c r="D2" t="inlineStr">
        <is>
          <t>Evaluator:</t>
        </is>
      </c>
    </row>
    <row r="3">
      <c r="A3" t="inlineStr">
        <is>
          <t>Scoring: 1 = Not Met  |  2 = Minimally Met  |  3 = Partially Met  |  4 = Mostly Met  |  5 = Fully Met</t>
        </is>
      </c>
    </row>
    <row r="5" ht="29" customHeight="1">
      <c r="A5" s="7" t="inlineStr">
        <is>
          <t>Requirement</t>
        </is>
      </c>
      <c r="B5" s="7" t="inlineStr">
        <is>
          <t>Evaluation checklist</t>
        </is>
      </c>
      <c r="C5" s="7" t="inlineStr">
        <is>
          <t>Priority</t>
        </is>
      </c>
      <c r="D5" s="7" t="inlineStr">
        <is>
          <t>Score (1–5)</t>
        </is>
      </c>
      <c r="E5" s="7" t="inlineStr">
        <is>
          <t>Evidence / Comments</t>
        </is>
      </c>
    </row>
    <row r="6" ht="79" customHeight="1">
      <c r="A6" t="inlineStr">
        <is>
          <t>BR-03</t>
        </is>
      </c>
      <c r="B6" s="10" t="inlineStr">
        <is>
          <t>Sessions time-limited and revocable</t>
        </is>
      </c>
      <c r="C6" t="inlineStr">
        <is>
          <t>Should</t>
        </is>
      </c>
      <c r="D6" s="12" t="n"/>
      <c r="E6" s="10" t="inlineStr">
        <is>
          <t>Session ends after 1 minute idle (configurable), warning 30 s before, extended while active; sign-out and account status changes revoke tokens. Trading Ops suspend/reinstate/close/expire accounts with a reason and history; clients can close their own. e2e session-timeout specs.</t>
        </is>
      </c>
    </row>
    <row r="7" ht="43" customHeight="1">
      <c r="A7" t="inlineStr">
        <is>
          <t>BR-07</t>
        </is>
      </c>
      <c r="B7" s="10" t="inlineStr">
        <is>
          <t>Order status updates without manual refresh</t>
        </is>
      </c>
      <c r="C7" t="inlineStr">
        <is>
          <t>Should</t>
        </is>
      </c>
      <c r="D7" s="12" t="n"/>
      <c r="E7" s="10" t="inlineStr">
        <is>
          <t>SSE /api/v1/orders/stream pushes each status change; notifications feed.</t>
        </is>
      </c>
    </row>
    <row r="8" ht="43" customHeight="1">
      <c r="A8" t="inlineStr">
        <is>
          <t>BR-13</t>
        </is>
      </c>
      <c r="B8" s="10" t="inlineStr">
        <is>
          <t>Show indicative price before submitting order</t>
        </is>
      </c>
      <c r="C8" t="inlineStr">
        <is>
          <t>Should</t>
        </is>
      </c>
      <c r="D8" s="12" t="n"/>
      <c r="E8" s="10" t="inlineStr">
        <is>
          <t>Trade page shows an indicative price with its timestamp and the estimated cost/proceeds before submission.</t>
        </is>
      </c>
    </row>
    <row r="9" ht="79" customHeight="1">
      <c r="A9" t="inlineStr">
        <is>
          <t>BR-17</t>
        </is>
      </c>
      <c r="B9" s="10" t="inlineStr">
        <is>
          <t>Show internal trading activity insights</t>
        </is>
      </c>
      <c r="C9" t="inlineStr">
        <is>
          <t>Should</t>
        </is>
      </c>
      <c r="D9" s="12" t="n"/>
      <c r="E9" s="10" t="inlineStr">
        <is>
          <t>Analyst dashboard: volume, most active stocks, active-client trend, segment report; insights flagged when they move 25%+ (configurable) with a 'What changed' list. Trading Ops alerts page for large orders and refused settlements (Kafka consumer). e2e staff insight and alerts specs.</t>
        </is>
      </c>
    </row>
    <row r="10" ht="64" customHeight="1">
      <c r="A10" t="inlineStr">
        <is>
          <t>BR-18</t>
        </is>
      </c>
      <c r="B10" s="10" t="inlineStr">
        <is>
          <t>Build and justify one additional valuable capability</t>
        </is>
      </c>
      <c r="C10" t="inlineStr">
        <is>
          <t>Should</t>
        </is>
      </c>
      <c r="D10" s="12" t="n"/>
      <c r="E10" s="10" t="inlineStr">
        <is>
          <t>Learn tab and stock simulator, justified against copy trading and a mobile app (client value, business value, effort, risk) in README 'Additional capability (BR-18)'; 105 unit tests.</t>
        </is>
      </c>
    </row>
    <row r="12">
      <c r="C12" s="14" t="inlineStr">
        <is>
          <t>TOTAL</t>
        </is>
      </c>
      <c r="D12" s="14">
        <f>IF(COUNT(D6:D10)=0,"",SUM(D6:D10))</f>
        <v/>
      </c>
    </row>
    <row r="13">
      <c r="C13" s="14" t="inlineStr">
        <is>
          <t>MAX POSSIBLE</t>
        </is>
      </c>
      <c r="D13" s="14" t="n">
        <v>25</v>
      </c>
    </row>
    <row r="14">
      <c r="C14" s="14" t="inlineStr">
        <is>
          <t>COMPLETED</t>
        </is>
      </c>
      <c r="D14" s="14">
        <f>COUNT(D6:D10)&amp;" / 5"</f>
        <v/>
      </c>
    </row>
  </sheetData>
  <mergeCells count="1">
    <mergeCell ref="A1:E1"/>
  </mergeCells>
  <conditionalFormatting sqref="D6:D1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sqref="D6:D10" showDropDown="0" showInputMessage="0" showErrorMessage="0" allowBlank="0" type="list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2026-10-22T02:03:17Z</dcterms:created>
  <dcterms:modified xsi:type="dcterms:W3CDTF">2026-10-22T02:03:37Z</dcterms:modified>
</cp:coreProperties>
</file>